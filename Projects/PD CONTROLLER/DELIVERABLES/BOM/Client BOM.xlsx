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aSim Data\Usama Projects\Dock Electronics_v1.0\Design File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48" i="1" l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<sst xmlns="http://schemas.openxmlformats.org/spreadsheetml/2006/main" count="330" uniqueCount="234">
  <si>
    <t>#</t>
  </si>
  <si>
    <t>Item Type</t>
  </si>
  <si>
    <t>Capacitors</t>
  </si>
  <si>
    <t>Capacitor</t>
  </si>
  <si>
    <t>TVS Diodes</t>
  </si>
  <si>
    <t>Diode</t>
  </si>
  <si>
    <t>TVS Diode</t>
  </si>
  <si>
    <t>Fuse</t>
  </si>
  <si>
    <t>Wire To Board Connector</t>
  </si>
  <si>
    <t>JST Connector</t>
  </si>
  <si>
    <t>Inductor</t>
  </si>
  <si>
    <t>LED</t>
  </si>
  <si>
    <t>Mosfet</t>
  </si>
  <si>
    <t>Resistors</t>
  </si>
  <si>
    <t>Resistor</t>
  </si>
  <si>
    <t>Switch</t>
  </si>
  <si>
    <t>IC</t>
  </si>
  <si>
    <t>Crystal</t>
  </si>
  <si>
    <t>Designator</t>
  </si>
  <si>
    <t>C1, C9, C13, C17, C20, C23, C28, C32, C33, C38, C44</t>
  </si>
  <si>
    <t>C2, C24</t>
  </si>
  <si>
    <t>C3, C4, C18</t>
  </si>
  <si>
    <t>C5, C6</t>
  </si>
  <si>
    <t>C7</t>
  </si>
  <si>
    <t>C8, C25, C34</t>
  </si>
  <si>
    <t>C10, C31, C39, C43</t>
  </si>
  <si>
    <t>C11, C12, C30, C40, C41</t>
  </si>
  <si>
    <t>C14, C15</t>
  </si>
  <si>
    <t>C16</t>
  </si>
  <si>
    <t>C19, C22</t>
  </si>
  <si>
    <t>C21</t>
  </si>
  <si>
    <t>C26, C27</t>
  </si>
  <si>
    <t>C42</t>
  </si>
  <si>
    <t>D1</t>
  </si>
  <si>
    <t>D2</t>
  </si>
  <si>
    <t>D3</t>
  </si>
  <si>
    <t>D4</t>
  </si>
  <si>
    <t>D5, D6, D7, D8</t>
  </si>
  <si>
    <t>F1</t>
  </si>
  <si>
    <t>J1</t>
  </si>
  <si>
    <t>J2, J4, J6</t>
  </si>
  <si>
    <t>J3</t>
  </si>
  <si>
    <t>J5</t>
  </si>
  <si>
    <t>L1</t>
  </si>
  <si>
    <t>L2</t>
  </si>
  <si>
    <t>L3</t>
  </si>
  <si>
    <t>LED1</t>
  </si>
  <si>
    <t>Q1, Q2, Q3</t>
  </si>
  <si>
    <t>R1</t>
  </si>
  <si>
    <t>R2</t>
  </si>
  <si>
    <t>R3</t>
  </si>
  <si>
    <t>R4</t>
  </si>
  <si>
    <t>R5</t>
  </si>
  <si>
    <t>R6, R9</t>
  </si>
  <si>
    <t>R7, R10, R11, R13</t>
  </si>
  <si>
    <t>R8</t>
  </si>
  <si>
    <t>SW1, SW2</t>
  </si>
  <si>
    <t>U1</t>
  </si>
  <si>
    <t>U2</t>
  </si>
  <si>
    <t>U4</t>
  </si>
  <si>
    <t>U6</t>
  </si>
  <si>
    <t>U7</t>
  </si>
  <si>
    <t>U9</t>
  </si>
  <si>
    <t>U10</t>
  </si>
  <si>
    <t>X1</t>
  </si>
  <si>
    <t>Description</t>
  </si>
  <si>
    <t>CAP CER 0.1UF 50V X7R 0402</t>
  </si>
  <si>
    <t>CAP CER 4.7UF 25V X5R 0603</t>
  </si>
  <si>
    <t>CAP CER 0.22UF 25V X5R 0402</t>
  </si>
  <si>
    <t>CAP CER 47UF 25V X5R 1206</t>
  </si>
  <si>
    <t>CAP CER 22UF 25V X5R 0805</t>
  </si>
  <si>
    <t>CAP CER 10UF 16V X5R 0603</t>
  </si>
  <si>
    <t>CAP CER 22UF 10V X5R 0603</t>
  </si>
  <si>
    <t>CAP CER 560PF 50V X7R 0402</t>
  </si>
  <si>
    <t>CAP CER 10000PF 50V X7R 0402</t>
  </si>
  <si>
    <t>CAP CER 10UF 50V X5R 0805</t>
  </si>
  <si>
    <t>CAP TANT 100UF 20% 25V 2917</t>
  </si>
  <si>
    <t>CAP CER 4.7UF 50V X5R 0805</t>
  </si>
  <si>
    <t>CAP CER 4.7UF 16V X5R 0402</t>
  </si>
  <si>
    <t>TVS DIODE 12VWM 19.9VC DO214AA</t>
  </si>
  <si>
    <t>TVS DIODE 33VWM 53.3VC SMB</t>
  </si>
  <si>
    <t>100V 400mW Single 1.25V@150mA 8ns 300mA SOD-123 Switching Diode ROHS</t>
  </si>
  <si>
    <t>9.2V 6.4V 5V SOD-123FL TVS ROHS</t>
  </si>
  <si>
    <t>ESD9L5.0ST5G, TVS DIODE 5V 9.8V SOD923</t>
  </si>
  <si>
    <t>24V 3A 40A 6A 1812 Resettable Fuses ROHS</t>
  </si>
  <si>
    <t>1x8P 8P XH 1 2.5mm Tin 2 -25℃~+85℃ Brass 3A Direct Insert Plugin,P=2.5mm Wire To Board Connector ROHS</t>
  </si>
  <si>
    <t>1x2P 2P XH 1 2.5mm Tin 2 -25℃~+85℃ Brass 3A Direct Insert Plugin,P=2.5mm Wire To Board Connector ROHS</t>
  </si>
  <si>
    <t>CONN HEADER TH 6POS 2.5mm</t>
  </si>
  <si>
    <t>CONN HEADER VERT 4POS 2.5MM</t>
  </si>
  <si>
    <t>4.5A 4.7uH ±20% SMD,10.1x10.1mm Power Inductors ROHS</t>
  </si>
  <si>
    <t>2.3A 3.9uH ±20% 3.3A SMD,4x4mm Power Inductors ROHS</t>
  </si>
  <si>
    <t>2.9A 4.7uH ±20% 2.9A SMD,4x4mm Power Inductors ROHS</t>
  </si>
  <si>
    <t>Emerald 0603 Light Emitting Diodes (LED) ROHS</t>
  </si>
  <si>
    <t>30V 5.8A 32mΩ@10V,5.8A 1.4W 1.4V@250uA N Channel SOT-23 MOSFETs ROHS</t>
  </si>
  <si>
    <t>RES 100K OHM 1% 1/10W 0603</t>
  </si>
  <si>
    <t>RES SMD 12.4K OHM 1% 1/10W 0603</t>
  </si>
  <si>
    <t>RES 0.005 OHM 1% 2W 2512</t>
  </si>
  <si>
    <t>RES SMD 10 OHM 1% 1/10W 0603</t>
  </si>
  <si>
    <t>RES SMD 1K OHM 1% 1/5W 0402</t>
  </si>
  <si>
    <t>RES 220 OHM 1% 1/16W 0402</t>
  </si>
  <si>
    <t>RES 10K OHM 1% 1/16W 0402</t>
  </si>
  <si>
    <t>RES 470 OHM 1% 1/16W 0402</t>
  </si>
  <si>
    <t>None Without bracket 50mA 3.05mm 100000 Times 12V 160gf 2.5mm 1.5mm Round Button Standing paste SPST SMD Tactile Switches ROHS</t>
  </si>
  <si>
    <t>IC REG BUCK ADJ 4A 13WQFN</t>
  </si>
  <si>
    <t>IC REG BUCK 3.3V 2A TSOT26</t>
  </si>
  <si>
    <t>TPS25740A USB Type-C Rev 1.2 and USB PD 2.0 Source Controller (5V/9V/15V)</t>
  </si>
  <si>
    <t>OR Controller N+1 ORing Controller N-Channel 1:1 SOT-23-6</t>
  </si>
  <si>
    <t>ESP32-S3 chip 2.4GHz SMD,18x25.5mm WiFi Modules ROHS</t>
  </si>
  <si>
    <t>IC REG BUCK 5V 2A TSOT26</t>
  </si>
  <si>
    <t>480Mbps Hub USB 2.0 QFN-16(3x3) Interface Controllers RoHS</t>
  </si>
  <si>
    <t>12MHz 18pF ±10ppm SMD2520-4P Crystals ROHS</t>
  </si>
  <si>
    <t>Footprint</t>
  </si>
  <si>
    <t>Cap-0402</t>
  </si>
  <si>
    <t>Cap-0603</t>
  </si>
  <si>
    <t>Cap-1206</t>
  </si>
  <si>
    <t>Cap-0805</t>
  </si>
  <si>
    <t>Case-E</t>
  </si>
  <si>
    <t>SMB_</t>
  </si>
  <si>
    <t>SMB Bi Directional</t>
  </si>
  <si>
    <t>SOD-123</t>
  </si>
  <si>
    <t>SOD-123 (Bi-Directional)</t>
  </si>
  <si>
    <t>SOD-923.</t>
  </si>
  <si>
    <t>Fuse-1812_</t>
  </si>
  <si>
    <t>2.54-8P ZZDK</t>
  </si>
  <si>
    <t>2.54-2P ZZDK</t>
  </si>
  <si>
    <t>2.54-6P ZZDK</t>
  </si>
  <si>
    <t>B4B-XH-A(LF)(SN).</t>
  </si>
  <si>
    <t>YSLF1045-4R7M</t>
  </si>
  <si>
    <t>FNR4030S3R9MT</t>
  </si>
  <si>
    <t>SMNR4030-4R7MT</t>
  </si>
  <si>
    <t>LED-0603</t>
  </si>
  <si>
    <t>sot-23</t>
  </si>
  <si>
    <t>Res-0603</t>
  </si>
  <si>
    <t>RES-2512</t>
  </si>
  <si>
    <t>Res-0402</t>
  </si>
  <si>
    <t>GT-TC032A-H015-L1</t>
  </si>
  <si>
    <t>13-WQFN-HR (3x2)</t>
  </si>
  <si>
    <t>TSOT-23-6</t>
  </si>
  <si>
    <t>QFN50P400X400X100-25N-D</t>
  </si>
  <si>
    <t>SOT-23-6</t>
  </si>
  <si>
    <t>41-SMD Module</t>
  </si>
  <si>
    <t>QFN-16</t>
  </si>
  <si>
    <t>SMD2520-4P</t>
  </si>
  <si>
    <t>Manufacturer Part Number</t>
  </si>
  <si>
    <t>CL05B104KB54PNC</t>
  </si>
  <si>
    <t>CL10A475KA8NQNC</t>
  </si>
  <si>
    <t>CC0402KRX5R8BB224</t>
  </si>
  <si>
    <t>GRM31CR61E476ME44L</t>
  </si>
  <si>
    <t>GRM21BR61E226ME44L</t>
  </si>
  <si>
    <t>CC0603KRX5R7BB106</t>
  </si>
  <si>
    <t>CC0603MRX5R6BB226</t>
  </si>
  <si>
    <t>CC0402JRX7R9BB561</t>
  </si>
  <si>
    <t>CC0402KRX7R9BB103</t>
  </si>
  <si>
    <t>GRM21BR61H106ME43L</t>
  </si>
  <si>
    <t>TAJE107M025RNJ</t>
  </si>
  <si>
    <t>GRM21BR61H475KE51L</t>
  </si>
  <si>
    <t>CL05A475MO5NUNC</t>
  </si>
  <si>
    <t>SMBJ12A</t>
  </si>
  <si>
    <t>SMBJ33CA-13-F</t>
  </si>
  <si>
    <t>1N4148W</t>
  </si>
  <si>
    <t>SMF5.0CA</t>
  </si>
  <si>
    <t>ESD9L5.0ST5G</t>
  </si>
  <si>
    <t>BSMD1812-300-24V</t>
  </si>
  <si>
    <t>B4B-XH-A(LF)(SN)</t>
  </si>
  <si>
    <t>NCD0603G2</t>
  </si>
  <si>
    <t>AO3400A</t>
  </si>
  <si>
    <t>RC0603FR-07100KL</t>
  </si>
  <si>
    <t>RC0603FR-0712K4L</t>
  </si>
  <si>
    <t>PA2512FKF7W0R005E</t>
  </si>
  <si>
    <t>RC0603FR-0710RL</t>
  </si>
  <si>
    <t>CRCW04021K00FKEDHP</t>
  </si>
  <si>
    <t>RC0402FR-07220RL</t>
  </si>
  <si>
    <t>RC0402FR-0710KL</t>
  </si>
  <si>
    <t>RC0402FR-07470RL</t>
  </si>
  <si>
    <t>LM60440DRPKR</t>
  </si>
  <si>
    <t>AP63203WU-7</t>
  </si>
  <si>
    <t>LM74700QDBVRQ1</t>
  </si>
  <si>
    <t>ESP32-S3-WROOM-1-N8</t>
  </si>
  <si>
    <t>AP63205WU-7</t>
  </si>
  <si>
    <t>2TJ412000XYGBC</t>
  </si>
  <si>
    <t>Manufacturer</t>
  </si>
  <si>
    <t>Samsung</t>
  </si>
  <si>
    <t>Yageo</t>
  </si>
  <si>
    <t>Murata</t>
  </si>
  <si>
    <t>Kyocera AVX</t>
  </si>
  <si>
    <t>Littelfuse</t>
  </si>
  <si>
    <t>Diodes</t>
  </si>
  <si>
    <t>JSMSEMI</t>
  </si>
  <si>
    <t>GOODWORK</t>
  </si>
  <si>
    <t>ON Semiconductor</t>
  </si>
  <si>
    <t>BHFUSE</t>
  </si>
  <si>
    <t>SHOU HAN</t>
  </si>
  <si>
    <t>JST</t>
  </si>
  <si>
    <t>YJYCOIN</t>
  </si>
  <si>
    <t>cjiang</t>
  </si>
  <si>
    <t>SXN(Shun Xiang Nuo Elec)</t>
  </si>
  <si>
    <t>Foshan NationStar Optoelectronics</t>
  </si>
  <si>
    <t>BORN</t>
  </si>
  <si>
    <t>Vishay Dale</t>
  </si>
  <si>
    <t>G-Switch</t>
  </si>
  <si>
    <t>Texas Instruments</t>
  </si>
  <si>
    <t>Expressif System</t>
  </si>
  <si>
    <t>JYJE</t>
  </si>
  <si>
    <t>Comment</t>
  </si>
  <si>
    <t>0.1uF</t>
  </si>
  <si>
    <t>4.7UF</t>
  </si>
  <si>
    <t>220nF</t>
  </si>
  <si>
    <t>47uF</t>
  </si>
  <si>
    <t>22uF</t>
  </si>
  <si>
    <t>1uF</t>
  </si>
  <si>
    <t>10uF</t>
  </si>
  <si>
    <t>560pF</t>
  </si>
  <si>
    <t>10nF</t>
  </si>
  <si>
    <t>100uF</t>
  </si>
  <si>
    <t>4.7uF</t>
  </si>
  <si>
    <t>4.7uH</t>
  </si>
  <si>
    <t>3.9uH</t>
  </si>
  <si>
    <t>Emerald</t>
  </si>
  <si>
    <t>100K</t>
  </si>
  <si>
    <t>12.4K</t>
  </si>
  <si>
    <t>5mR</t>
  </si>
  <si>
    <t>10R</t>
  </si>
  <si>
    <t>1K</t>
  </si>
  <si>
    <t>220R</t>
  </si>
  <si>
    <t>10K</t>
  </si>
  <si>
    <t>470R</t>
  </si>
  <si>
    <t>TPS25740ARGER</t>
  </si>
  <si>
    <t>CH334P</t>
  </si>
  <si>
    <t>12MHz</t>
  </si>
  <si>
    <t>Quantity</t>
  </si>
  <si>
    <t>Connector</t>
  </si>
  <si>
    <t>CC0402KRX5R8BB105</t>
  </si>
  <si>
    <t>CAP CER 1UF 25V X5R 0402</t>
  </si>
  <si>
    <t>WCH(Jiangsu Qin Heng)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</si>
</sst>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48"/>
  <sheetViews>
    <sheetView tabSelected="1" topLeftCell="A34" workbookViewId="0">
      <selection activeCell="H57" sqref="H57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</cols>
  <sheetData>
    <row r="1" spans="1:10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</row>
    <row r="2" spans="1:10" ht="15.75" thickBot="1" x14ac:dyDescent="0.3">
      <c r="A2" s="1"/>
      <c r="B2" s="5" t="s">
        <v>0</v>
      </c>
      <c r="C2" s="5" t="s">
        <v>1</v>
      </c>
      <c r="D2" s="5" t="s">
        <v>18</v>
      </c>
      <c r="E2" s="6" t="s">
        <v>65</v>
      </c>
      <c r="F2" s="5" t="s">
        <v>111</v>
      </c>
      <c r="G2" s="6" t="s">
        <v>143</v>
      </c>
      <c r="H2" s="5" t="s">
        <v>180</v>
      </c>
      <c r="I2" s="6" t="s">
        <v>203</v>
      </c>
      <c r="J2" s="5" t="s">
        <v>229</v>
      </c>
    </row>
    <row r="3" spans="1:10" ht="24.75" thickBot="1" x14ac:dyDescent="0.3">
      <c r="A3" s="1"/>
      <c r="B3" s="11">
        <f>ROW(B3) - ROW($B$2)</f>
        <v>1</v>
      </c>
      <c r="C3" s="12" t="s">
        <v>2</v>
      </c>
      <c r="D3" s="7" t="s">
        <v>19</v>
      </c>
      <c r="E3" s="8" t="s">
        <v>66</v>
      </c>
      <c r="F3" s="7" t="s">
        <v>112</v>
      </c>
      <c r="G3" s="8" t="s">
        <v>144</v>
      </c>
      <c r="H3" s="7" t="s">
        <v>181</v>
      </c>
      <c r="I3" s="8" t="s">
        <v>204</v>
      </c>
      <c r="J3" s="7">
        <v>11</v>
      </c>
    </row>
    <row r="4" spans="1:10" ht="15.75" thickBot="1" x14ac:dyDescent="0.3">
      <c r="A4" s="1"/>
      <c r="B4" s="11">
        <f t="shared" ref="B4:B48" si="0">ROW(B4) - ROW($B$2)</f>
        <v>2</v>
      </c>
      <c r="C4" s="12" t="s">
        <v>2</v>
      </c>
      <c r="D4" s="9" t="s">
        <v>20</v>
      </c>
      <c r="E4" s="10" t="s">
        <v>67</v>
      </c>
      <c r="F4" s="9" t="s">
        <v>113</v>
      </c>
      <c r="G4" s="10" t="s">
        <v>145</v>
      </c>
      <c r="H4" s="9" t="s">
        <v>181</v>
      </c>
      <c r="I4" s="10" t="s">
        <v>205</v>
      </c>
      <c r="J4" s="9">
        <v>2</v>
      </c>
    </row>
    <row r="5" spans="1:10" ht="15.75" thickBot="1" x14ac:dyDescent="0.3">
      <c r="A5" s="1"/>
      <c r="B5" s="11">
        <f>ROW(B5) - ROW($B$2)</f>
        <v>3</v>
      </c>
      <c r="C5" s="12" t="s">
        <v>2</v>
      </c>
      <c r="D5" s="7" t="s">
        <v>21</v>
      </c>
      <c r="E5" s="8" t="s">
        <v>68</v>
      </c>
      <c r="F5" s="7" t="s">
        <v>112</v>
      </c>
      <c r="G5" s="8" t="s">
        <v>146</v>
      </c>
      <c r="H5" s="7" t="s">
        <v>182</v>
      </c>
      <c r="I5" s="8" t="s">
        <v>206</v>
      </c>
      <c r="J5" s="7">
        <v>3</v>
      </c>
    </row>
    <row r="6" spans="1:10" ht="15.75" thickBot="1" x14ac:dyDescent="0.3">
      <c r="A6" s="1"/>
      <c r="B6" s="11">
        <f t="shared" si="0"/>
        <v>4</v>
      </c>
      <c r="C6" s="13" t="s">
        <v>3</v>
      </c>
      <c r="D6" s="9" t="s">
        <v>22</v>
      </c>
      <c r="E6" s="10" t="s">
        <v>69</v>
      </c>
      <c r="F6" s="9" t="s">
        <v>114</v>
      </c>
      <c r="G6" s="10" t="s">
        <v>147</v>
      </c>
      <c r="H6" s="9" t="s">
        <v>183</v>
      </c>
      <c r="I6" s="10" t="s">
        <v>207</v>
      </c>
      <c r="J6" s="9">
        <v>2</v>
      </c>
    </row>
    <row r="7" spans="1:10" ht="15.75" thickBot="1" x14ac:dyDescent="0.3">
      <c r="A7" s="1"/>
      <c r="B7" s="11">
        <f>ROW(B7) - ROW($B$2)</f>
        <v>5</v>
      </c>
      <c r="C7" s="12" t="s">
        <v>3</v>
      </c>
      <c r="D7" s="7" t="s">
        <v>23</v>
      </c>
      <c r="E7" s="8" t="s">
        <v>70</v>
      </c>
      <c r="F7" s="7" t="s">
        <v>115</v>
      </c>
      <c r="G7" s="8" t="s">
        <v>148</v>
      </c>
      <c r="H7" s="7" t="s">
        <v>183</v>
      </c>
      <c r="I7" s="8" t="s">
        <v>208</v>
      </c>
      <c r="J7" s="7">
        <v>1</v>
      </c>
    </row>
    <row r="8" spans="1:10" ht="15.75" thickBot="1" x14ac:dyDescent="0.3">
      <c r="A8" s="1"/>
      <c r="B8" s="11">
        <f t="shared" si="0"/>
        <v>6</v>
      </c>
      <c r="C8" s="13" t="s">
        <v>3</v>
      </c>
      <c r="D8" s="9" t="s">
        <v>24</v>
      </c>
      <c r="E8" s="10" t="s">
        <v>232</v>
      </c>
      <c r="F8" s="9" t="s">
        <v>112</v>
      </c>
      <c r="G8" s="10" t="s">
        <v>231</v>
      </c>
      <c r="H8" s="9" t="s">
        <v>182</v>
      </c>
      <c r="I8" s="10" t="s">
        <v>209</v>
      </c>
      <c r="J8" s="9">
        <v>3</v>
      </c>
    </row>
    <row r="9" spans="1:10" ht="15.75" thickBot="1" x14ac:dyDescent="0.3">
      <c r="A9" s="1"/>
      <c r="B9" s="11">
        <f>ROW(B9) - ROW($B$2)</f>
        <v>7</v>
      </c>
      <c r="C9" s="12" t="s">
        <v>3</v>
      </c>
      <c r="D9" s="7" t="s">
        <v>25</v>
      </c>
      <c r="E9" s="8" t="s">
        <v>71</v>
      </c>
      <c r="F9" s="7" t="s">
        <v>113</v>
      </c>
      <c r="G9" s="8" t="s">
        <v>149</v>
      </c>
      <c r="H9" s="7" t="s">
        <v>182</v>
      </c>
      <c r="I9" s="8" t="s">
        <v>210</v>
      </c>
      <c r="J9" s="7">
        <v>4</v>
      </c>
    </row>
    <row r="10" spans="1:10" ht="15.75" thickBot="1" x14ac:dyDescent="0.3">
      <c r="A10" s="1"/>
      <c r="B10" s="11">
        <f t="shared" si="0"/>
        <v>8</v>
      </c>
      <c r="C10" s="13" t="s">
        <v>3</v>
      </c>
      <c r="D10" s="9" t="s">
        <v>26</v>
      </c>
      <c r="E10" s="10" t="s">
        <v>72</v>
      </c>
      <c r="F10" s="9" t="s">
        <v>113</v>
      </c>
      <c r="G10" s="10" t="s">
        <v>150</v>
      </c>
      <c r="H10" s="9" t="s">
        <v>182</v>
      </c>
      <c r="I10" s="10" t="s">
        <v>208</v>
      </c>
      <c r="J10" s="9">
        <v>5</v>
      </c>
    </row>
    <row r="11" spans="1:10" ht="15.75" thickBot="1" x14ac:dyDescent="0.3">
      <c r="A11" s="1"/>
      <c r="B11" s="11">
        <f>ROW(B11) - ROW($B$2)</f>
        <v>9</v>
      </c>
      <c r="C11" s="12" t="s">
        <v>3</v>
      </c>
      <c r="D11" s="7" t="s">
        <v>27</v>
      </c>
      <c r="E11" s="8" t="s">
        <v>73</v>
      </c>
      <c r="F11" s="7" t="s">
        <v>112</v>
      </c>
      <c r="G11" s="8" t="s">
        <v>151</v>
      </c>
      <c r="H11" s="7" t="s">
        <v>182</v>
      </c>
      <c r="I11" s="8" t="s">
        <v>211</v>
      </c>
      <c r="J11" s="7">
        <v>2</v>
      </c>
    </row>
    <row r="12" spans="1:10" ht="15.75" thickBot="1" x14ac:dyDescent="0.3">
      <c r="A12" s="1"/>
      <c r="B12" s="11">
        <f t="shared" si="0"/>
        <v>10</v>
      </c>
      <c r="C12" s="13" t="s">
        <v>3</v>
      </c>
      <c r="D12" s="9" t="s">
        <v>28</v>
      </c>
      <c r="E12" s="10" t="s">
        <v>74</v>
      </c>
      <c r="F12" s="9" t="s">
        <v>112</v>
      </c>
      <c r="G12" s="10" t="s">
        <v>152</v>
      </c>
      <c r="H12" s="9" t="s">
        <v>182</v>
      </c>
      <c r="I12" s="10" t="s">
        <v>212</v>
      </c>
      <c r="J12" s="9">
        <v>1</v>
      </c>
    </row>
    <row r="13" spans="1:10" ht="15.75" thickBot="1" x14ac:dyDescent="0.3">
      <c r="A13" s="1"/>
      <c r="B13" s="11">
        <f>ROW(B13) - ROW($B$2)</f>
        <v>11</v>
      </c>
      <c r="C13" s="13" t="s">
        <v>3</v>
      </c>
      <c r="D13" s="7" t="s">
        <v>29</v>
      </c>
      <c r="E13" s="8" t="s">
        <v>75</v>
      </c>
      <c r="F13" s="7" t="s">
        <v>115</v>
      </c>
      <c r="G13" s="8" t="s">
        <v>153</v>
      </c>
      <c r="H13" s="7" t="s">
        <v>183</v>
      </c>
      <c r="I13" s="8" t="s">
        <v>210</v>
      </c>
      <c r="J13" s="7">
        <v>2</v>
      </c>
    </row>
    <row r="14" spans="1:10" ht="15.75" thickBot="1" x14ac:dyDescent="0.3">
      <c r="A14" s="1"/>
      <c r="B14" s="11">
        <f t="shared" si="0"/>
        <v>12</v>
      </c>
      <c r="C14" s="13" t="s">
        <v>3</v>
      </c>
      <c r="D14" s="9" t="s">
        <v>30</v>
      </c>
      <c r="E14" s="10" t="s">
        <v>76</v>
      </c>
      <c r="F14" s="9" t="s">
        <v>116</v>
      </c>
      <c r="G14" s="10" t="s">
        <v>154</v>
      </c>
      <c r="H14" s="9" t="s">
        <v>184</v>
      </c>
      <c r="I14" s="10" t="s">
        <v>213</v>
      </c>
      <c r="J14" s="9">
        <v>1</v>
      </c>
    </row>
    <row r="15" spans="1:10" ht="15.75" thickBot="1" x14ac:dyDescent="0.3">
      <c r="A15" s="1"/>
      <c r="B15" s="11">
        <f>ROW(B15) - ROW($B$2)</f>
        <v>13</v>
      </c>
      <c r="C15" s="12" t="s">
        <v>3</v>
      </c>
      <c r="D15" s="7" t="s">
        <v>31</v>
      </c>
      <c r="E15" s="8" t="s">
        <v>77</v>
      </c>
      <c r="F15" s="7" t="s">
        <v>115</v>
      </c>
      <c r="G15" s="8" t="s">
        <v>155</v>
      </c>
      <c r="H15" s="7" t="s">
        <v>183</v>
      </c>
      <c r="I15" s="8" t="s">
        <v>214</v>
      </c>
      <c r="J15" s="7">
        <v>2</v>
      </c>
    </row>
    <row r="16" spans="1:10" ht="15.75" thickBot="1" x14ac:dyDescent="0.3">
      <c r="A16" s="1"/>
      <c r="B16" s="11">
        <f t="shared" si="0"/>
        <v>14</v>
      </c>
      <c r="C16" s="13" t="s">
        <v>3</v>
      </c>
      <c r="D16" s="9" t="s">
        <v>32</v>
      </c>
      <c r="E16" s="10" t="s">
        <v>78</v>
      </c>
      <c r="F16" s="9" t="s">
        <v>112</v>
      </c>
      <c r="G16" s="10" t="s">
        <v>156</v>
      </c>
      <c r="H16" s="9" t="s">
        <v>181</v>
      </c>
      <c r="I16" s="10" t="s">
        <v>214</v>
      </c>
      <c r="J16" s="9">
        <v>1</v>
      </c>
    </row>
    <row r="17" spans="1:10" ht="15.75" thickBot="1" x14ac:dyDescent="0.3">
      <c r="A17" s="1"/>
      <c r="B17" s="11">
        <f>ROW(B17) - ROW($B$2)</f>
        <v>15</v>
      </c>
      <c r="C17" s="12" t="s">
        <v>4</v>
      </c>
      <c r="D17" s="7" t="s">
        <v>33</v>
      </c>
      <c r="E17" s="8" t="s">
        <v>79</v>
      </c>
      <c r="F17" s="7" t="s">
        <v>117</v>
      </c>
      <c r="G17" s="8" t="s">
        <v>157</v>
      </c>
      <c r="H17" s="7" t="s">
        <v>185</v>
      </c>
      <c r="I17" s="8" t="s">
        <v>157</v>
      </c>
      <c r="J17" s="7">
        <v>1</v>
      </c>
    </row>
    <row r="18" spans="1:10" ht="15.75" thickBot="1" x14ac:dyDescent="0.3">
      <c r="A18" s="1"/>
      <c r="B18" s="11">
        <f t="shared" si="0"/>
        <v>16</v>
      </c>
      <c r="C18" s="13" t="s">
        <v>5</v>
      </c>
      <c r="D18" s="9" t="s">
        <v>34</v>
      </c>
      <c r="E18" s="10" t="s">
        <v>80</v>
      </c>
      <c r="F18" s="9" t="s">
        <v>118</v>
      </c>
      <c r="G18" s="10" t="s">
        <v>158</v>
      </c>
      <c r="H18" s="9" t="s">
        <v>186</v>
      </c>
      <c r="I18" s="10" t="s">
        <v>158</v>
      </c>
      <c r="J18" s="9">
        <v>1</v>
      </c>
    </row>
    <row r="19" spans="1:10" ht="36.75" thickBot="1" x14ac:dyDescent="0.3">
      <c r="A19" s="1"/>
      <c r="B19" s="11">
        <f>ROW(B19) - ROW($B$2)</f>
        <v>17</v>
      </c>
      <c r="C19" s="12" t="s">
        <v>5</v>
      </c>
      <c r="D19" s="7" t="s">
        <v>35</v>
      </c>
      <c r="E19" s="8" t="s">
        <v>81</v>
      </c>
      <c r="F19" s="7" t="s">
        <v>119</v>
      </c>
      <c r="G19" s="8" t="s">
        <v>159</v>
      </c>
      <c r="H19" s="7" t="s">
        <v>187</v>
      </c>
      <c r="I19" s="8" t="s">
        <v>159</v>
      </c>
      <c r="J19" s="7">
        <v>1</v>
      </c>
    </row>
    <row r="20" spans="1:10" ht="15.75" thickBot="1" x14ac:dyDescent="0.3">
      <c r="A20" s="1"/>
      <c r="B20" s="11">
        <f t="shared" si="0"/>
        <v>18</v>
      </c>
      <c r="C20" s="13" t="s">
        <v>6</v>
      </c>
      <c r="D20" s="9" t="s">
        <v>36</v>
      </c>
      <c r="E20" s="10" t="s">
        <v>82</v>
      </c>
      <c r="F20" s="9" t="s">
        <v>120</v>
      </c>
      <c r="G20" s="10" t="s">
        <v>160</v>
      </c>
      <c r="H20" s="9" t="s">
        <v>188</v>
      </c>
      <c r="I20" s="10" t="s">
        <v>160</v>
      </c>
      <c r="J20" s="9">
        <v>1</v>
      </c>
    </row>
    <row r="21" spans="1:10" ht="24.75" thickBot="1" x14ac:dyDescent="0.3">
      <c r="A21" s="1"/>
      <c r="B21" s="11">
        <f>ROW(B21) - ROW($B$2)</f>
        <v>19</v>
      </c>
      <c r="C21" s="13" t="s">
        <v>6</v>
      </c>
      <c r="D21" s="7" t="s">
        <v>37</v>
      </c>
      <c r="E21" s="8" t="s">
        <v>83</v>
      </c>
      <c r="F21" s="7" t="s">
        <v>121</v>
      </c>
      <c r="G21" s="8" t="s">
        <v>161</v>
      </c>
      <c r="H21" s="7" t="s">
        <v>189</v>
      </c>
      <c r="I21" s="8" t="s">
        <v>161</v>
      </c>
      <c r="J21" s="7">
        <v>4</v>
      </c>
    </row>
    <row r="22" spans="1:10" ht="24.75" thickBot="1" x14ac:dyDescent="0.3">
      <c r="A22" s="1"/>
      <c r="B22" s="11">
        <f t="shared" si="0"/>
        <v>20</v>
      </c>
      <c r="C22" s="13" t="s">
        <v>7</v>
      </c>
      <c r="D22" s="9" t="s">
        <v>38</v>
      </c>
      <c r="E22" s="10" t="s">
        <v>84</v>
      </c>
      <c r="F22" s="9" t="s">
        <v>122</v>
      </c>
      <c r="G22" s="10" t="s">
        <v>162</v>
      </c>
      <c r="H22" s="9" t="s">
        <v>190</v>
      </c>
      <c r="I22" s="10" t="s">
        <v>162</v>
      </c>
      <c r="J22" s="9">
        <v>1</v>
      </c>
    </row>
    <row r="23" spans="1:10" ht="48.75" thickBot="1" x14ac:dyDescent="0.3">
      <c r="A23" s="1"/>
      <c r="B23" s="11">
        <f>ROW(B23) - ROW($B$2)</f>
        <v>21</v>
      </c>
      <c r="C23" s="12" t="s">
        <v>230</v>
      </c>
      <c r="D23" s="7" t="s">
        <v>39</v>
      </c>
      <c r="E23" s="8" t="s">
        <v>85</v>
      </c>
      <c r="F23" s="7" t="s">
        <v>123</v>
      </c>
      <c r="G23" s="8" t="s">
        <v>123</v>
      </c>
      <c r="H23" s="7" t="s">
        <v>191</v>
      </c>
      <c r="I23" s="8" t="s">
        <v>123</v>
      </c>
      <c r="J23" s="7">
        <v>1</v>
      </c>
    </row>
    <row r="24" spans="1:10" ht="48.75" thickBot="1" x14ac:dyDescent="0.3">
      <c r="A24" s="1"/>
      <c r="B24" s="11">
        <f t="shared" si="0"/>
        <v>22</v>
      </c>
      <c r="C24" s="13" t="s">
        <v>8</v>
      </c>
      <c r="D24" s="9" t="s">
        <v>40</v>
      </c>
      <c r="E24" s="10" t="s">
        <v>86</v>
      </c>
      <c r="F24" s="9" t="s">
        <v>124</v>
      </c>
      <c r="G24" s="10" t="s">
        <v>124</v>
      </c>
      <c r="H24" s="9" t="s">
        <v>191</v>
      </c>
      <c r="I24" s="10" t="s">
        <v>124</v>
      </c>
      <c r="J24" s="9">
        <v>3</v>
      </c>
    </row>
    <row r="25" spans="1:10" ht="15.75" thickBot="1" x14ac:dyDescent="0.3">
      <c r="A25" s="1"/>
      <c r="B25" s="11">
        <f>ROW(B25) - ROW($B$2)</f>
        <v>23</v>
      </c>
      <c r="C25" s="12" t="s">
        <v>230</v>
      </c>
      <c r="D25" s="7" t="s">
        <v>41</v>
      </c>
      <c r="E25" s="8" t="s">
        <v>87</v>
      </c>
      <c r="F25" s="7" t="s">
        <v>125</v>
      </c>
      <c r="G25" s="8" t="s">
        <v>125</v>
      </c>
      <c r="H25" s="7" t="s">
        <v>191</v>
      </c>
      <c r="I25" s="8" t="s">
        <v>125</v>
      </c>
      <c r="J25" s="7">
        <v>1</v>
      </c>
    </row>
    <row r="26" spans="1:10" ht="15.75" thickBot="1" x14ac:dyDescent="0.3">
      <c r="A26" s="1"/>
      <c r="B26" s="11">
        <f t="shared" si="0"/>
        <v>24</v>
      </c>
      <c r="C26" s="13" t="s">
        <v>9</v>
      </c>
      <c r="D26" s="9" t="s">
        <v>42</v>
      </c>
      <c r="E26" s="10" t="s">
        <v>88</v>
      </c>
      <c r="F26" s="9" t="s">
        <v>126</v>
      </c>
      <c r="G26" s="10" t="s">
        <v>163</v>
      </c>
      <c r="H26" s="9" t="s">
        <v>192</v>
      </c>
      <c r="I26" s="10" t="s">
        <v>163</v>
      </c>
      <c r="J26" s="9">
        <v>1</v>
      </c>
    </row>
    <row r="27" spans="1:10" ht="24.75" thickBot="1" x14ac:dyDescent="0.3">
      <c r="A27" s="1"/>
      <c r="B27" s="11">
        <f>ROW(B27) - ROW($B$2)</f>
        <v>25</v>
      </c>
      <c r="C27" s="12" t="s">
        <v>10</v>
      </c>
      <c r="D27" s="7" t="s">
        <v>43</v>
      </c>
      <c r="E27" s="8" t="s">
        <v>89</v>
      </c>
      <c r="F27" s="7" t="s">
        <v>127</v>
      </c>
      <c r="G27" s="8" t="s">
        <v>127</v>
      </c>
      <c r="H27" s="7" t="s">
        <v>193</v>
      </c>
      <c r="I27" s="8" t="s">
        <v>215</v>
      </c>
      <c r="J27" s="7">
        <v>1</v>
      </c>
    </row>
    <row r="28" spans="1:10" ht="24.75" thickBot="1" x14ac:dyDescent="0.3">
      <c r="A28" s="1"/>
      <c r="B28" s="11">
        <f t="shared" si="0"/>
        <v>26</v>
      </c>
      <c r="C28" s="13" t="s">
        <v>10</v>
      </c>
      <c r="D28" s="9" t="s">
        <v>44</v>
      </c>
      <c r="E28" s="10" t="s">
        <v>90</v>
      </c>
      <c r="F28" s="9" t="s">
        <v>128</v>
      </c>
      <c r="G28" s="10" t="s">
        <v>128</v>
      </c>
      <c r="H28" s="9" t="s">
        <v>194</v>
      </c>
      <c r="I28" s="10" t="s">
        <v>216</v>
      </c>
      <c r="J28" s="9">
        <v>1</v>
      </c>
    </row>
    <row r="29" spans="1:10" ht="24.75" thickBot="1" x14ac:dyDescent="0.3">
      <c r="A29" s="1"/>
      <c r="B29" s="11">
        <f>ROW(B29) - ROW($B$2)</f>
        <v>27</v>
      </c>
      <c r="C29" s="12" t="s">
        <v>10</v>
      </c>
      <c r="D29" s="7" t="s">
        <v>45</v>
      </c>
      <c r="E29" s="8" t="s">
        <v>91</v>
      </c>
      <c r="F29" s="7" t="s">
        <v>129</v>
      </c>
      <c r="G29" s="8" t="s">
        <v>129</v>
      </c>
      <c r="H29" s="7" t="s">
        <v>195</v>
      </c>
      <c r="I29" s="8" t="s">
        <v>215</v>
      </c>
      <c r="J29" s="7">
        <v>1</v>
      </c>
    </row>
    <row r="30" spans="1:10" ht="24.75" thickBot="1" x14ac:dyDescent="0.3">
      <c r="A30" s="1"/>
      <c r="B30" s="11">
        <f t="shared" si="0"/>
        <v>28</v>
      </c>
      <c r="C30" s="13" t="s">
        <v>11</v>
      </c>
      <c r="D30" s="9" t="s">
        <v>46</v>
      </c>
      <c r="E30" s="10" t="s">
        <v>92</v>
      </c>
      <c r="F30" s="9" t="s">
        <v>130</v>
      </c>
      <c r="G30" s="10" t="s">
        <v>164</v>
      </c>
      <c r="H30" s="9" t="s">
        <v>196</v>
      </c>
      <c r="I30" s="10" t="s">
        <v>217</v>
      </c>
      <c r="J30" s="9">
        <v>1</v>
      </c>
    </row>
    <row r="31" spans="1:10" ht="36.75" thickBot="1" x14ac:dyDescent="0.3">
      <c r="A31" s="1"/>
      <c r="B31" s="11">
        <f>ROW(B31) - ROW($B$2)</f>
        <v>29</v>
      </c>
      <c r="C31" s="12" t="s">
        <v>12</v>
      </c>
      <c r="D31" s="7" t="s">
        <v>47</v>
      </c>
      <c r="E31" s="8" t="s">
        <v>93</v>
      </c>
      <c r="F31" s="7" t="s">
        <v>131</v>
      </c>
      <c r="G31" s="8" t="s">
        <v>165</v>
      </c>
      <c r="H31" s="7" t="s">
        <v>197</v>
      </c>
      <c r="I31" s="8" t="s">
        <v>165</v>
      </c>
      <c r="J31" s="7">
        <v>3</v>
      </c>
    </row>
    <row r="32" spans="1:10" ht="15.75" thickBot="1" x14ac:dyDescent="0.3">
      <c r="A32" s="1"/>
      <c r="B32" s="11">
        <f t="shared" si="0"/>
        <v>30</v>
      </c>
      <c r="C32" s="13" t="s">
        <v>13</v>
      </c>
      <c r="D32" s="9" t="s">
        <v>48</v>
      </c>
      <c r="E32" s="10" t="s">
        <v>94</v>
      </c>
      <c r="F32" s="9" t="s">
        <v>132</v>
      </c>
      <c r="G32" s="10" t="s">
        <v>166</v>
      </c>
      <c r="H32" s="9" t="s">
        <v>182</v>
      </c>
      <c r="I32" s="10" t="s">
        <v>218</v>
      </c>
      <c r="J32" s="9">
        <v>1</v>
      </c>
    </row>
    <row r="33" spans="1:10" ht="15.75" thickBot="1" x14ac:dyDescent="0.3">
      <c r="A33" s="1"/>
      <c r="B33" s="11">
        <f>ROW(B33) - ROW($B$2)</f>
        <v>31</v>
      </c>
      <c r="C33" s="12" t="s">
        <v>14</v>
      </c>
      <c r="D33" s="7" t="s">
        <v>49</v>
      </c>
      <c r="E33" s="8" t="s">
        <v>95</v>
      </c>
      <c r="F33" s="7" t="s">
        <v>132</v>
      </c>
      <c r="G33" s="8" t="s">
        <v>167</v>
      </c>
      <c r="H33" s="7" t="s">
        <v>182</v>
      </c>
      <c r="I33" s="8" t="s">
        <v>219</v>
      </c>
      <c r="J33" s="7">
        <v>1</v>
      </c>
    </row>
    <row r="34" spans="1:10" ht="15.75" thickBot="1" x14ac:dyDescent="0.3">
      <c r="A34" s="1"/>
      <c r="B34" s="11">
        <f t="shared" si="0"/>
        <v>32</v>
      </c>
      <c r="C34" s="13" t="s">
        <v>14</v>
      </c>
      <c r="D34" s="9" t="s">
        <v>50</v>
      </c>
      <c r="E34" s="10" t="s">
        <v>96</v>
      </c>
      <c r="F34" s="9" t="s">
        <v>133</v>
      </c>
      <c r="G34" s="10" t="s">
        <v>168</v>
      </c>
      <c r="H34" s="9" t="s">
        <v>182</v>
      </c>
      <c r="I34" s="10" t="s">
        <v>220</v>
      </c>
      <c r="J34" s="9">
        <v>1</v>
      </c>
    </row>
    <row r="35" spans="1:10" ht="15.75" thickBot="1" x14ac:dyDescent="0.3">
      <c r="A35" s="1"/>
      <c r="B35" s="11">
        <f>ROW(B35) - ROW($B$2)</f>
        <v>33</v>
      </c>
      <c r="C35" s="12" t="s">
        <v>14</v>
      </c>
      <c r="D35" s="7" t="s">
        <v>51</v>
      </c>
      <c r="E35" s="8" t="s">
        <v>97</v>
      </c>
      <c r="F35" s="7" t="s">
        <v>132</v>
      </c>
      <c r="G35" s="8" t="s">
        <v>169</v>
      </c>
      <c r="H35" s="7" t="s">
        <v>182</v>
      </c>
      <c r="I35" s="8" t="s">
        <v>221</v>
      </c>
      <c r="J35" s="7">
        <v>1</v>
      </c>
    </row>
    <row r="36" spans="1:10" ht="15.75" thickBot="1" x14ac:dyDescent="0.3">
      <c r="A36" s="1"/>
      <c r="B36" s="11">
        <f t="shared" si="0"/>
        <v>34</v>
      </c>
      <c r="C36" s="13"/>
      <c r="D36" s="9" t="s">
        <v>52</v>
      </c>
      <c r="E36" s="10" t="s">
        <v>98</v>
      </c>
      <c r="F36" s="9" t="s">
        <v>134</v>
      </c>
      <c r="G36" s="10" t="s">
        <v>170</v>
      </c>
      <c r="H36" s="9" t="s">
        <v>198</v>
      </c>
      <c r="I36" s="10" t="s">
        <v>222</v>
      </c>
      <c r="J36" s="9">
        <v>1</v>
      </c>
    </row>
    <row r="37" spans="1:10" ht="15.75" thickBot="1" x14ac:dyDescent="0.3">
      <c r="A37" s="1"/>
      <c r="B37" s="11">
        <f>ROW(B37) - ROW($B$2)</f>
        <v>35</v>
      </c>
      <c r="C37" s="12" t="s">
        <v>13</v>
      </c>
      <c r="D37" s="7" t="s">
        <v>53</v>
      </c>
      <c r="E37" s="8" t="s">
        <v>99</v>
      </c>
      <c r="F37" s="7" t="s">
        <v>134</v>
      </c>
      <c r="G37" s="8" t="s">
        <v>171</v>
      </c>
      <c r="H37" s="7" t="s">
        <v>182</v>
      </c>
      <c r="I37" s="8" t="s">
        <v>223</v>
      </c>
      <c r="J37" s="7">
        <v>2</v>
      </c>
    </row>
    <row r="38" spans="1:10" ht="15.75" thickBot="1" x14ac:dyDescent="0.3">
      <c r="A38" s="1"/>
      <c r="B38" s="11">
        <f t="shared" si="0"/>
        <v>36</v>
      </c>
      <c r="C38" s="13" t="s">
        <v>14</v>
      </c>
      <c r="D38" s="9" t="s">
        <v>54</v>
      </c>
      <c r="E38" s="10" t="s">
        <v>100</v>
      </c>
      <c r="F38" s="9" t="s">
        <v>134</v>
      </c>
      <c r="G38" s="10" t="s">
        <v>172</v>
      </c>
      <c r="H38" s="9" t="s">
        <v>182</v>
      </c>
      <c r="I38" s="10" t="s">
        <v>224</v>
      </c>
      <c r="J38" s="9">
        <v>4</v>
      </c>
    </row>
    <row r="39" spans="1:10" ht="15.75" thickBot="1" x14ac:dyDescent="0.3">
      <c r="A39" s="1"/>
      <c r="B39" s="11">
        <f>ROW(B39) - ROW($B$2)</f>
        <v>37</v>
      </c>
      <c r="C39" s="12" t="s">
        <v>14</v>
      </c>
      <c r="D39" s="7" t="s">
        <v>55</v>
      </c>
      <c r="E39" s="8" t="s">
        <v>101</v>
      </c>
      <c r="F39" s="7" t="s">
        <v>134</v>
      </c>
      <c r="G39" s="8" t="s">
        <v>173</v>
      </c>
      <c r="H39" s="7" t="s">
        <v>182</v>
      </c>
      <c r="I39" s="8" t="s">
        <v>225</v>
      </c>
      <c r="J39" s="7">
        <v>1</v>
      </c>
    </row>
    <row r="40" spans="1:10" ht="48.75" thickBot="1" x14ac:dyDescent="0.3">
      <c r="A40" s="1"/>
      <c r="B40" s="11">
        <f t="shared" si="0"/>
        <v>38</v>
      </c>
      <c r="C40" s="13" t="s">
        <v>15</v>
      </c>
      <c r="D40" s="9" t="s">
        <v>56</v>
      </c>
      <c r="E40" s="10" t="s">
        <v>102</v>
      </c>
      <c r="F40" s="9" t="s">
        <v>135</v>
      </c>
      <c r="G40" s="10" t="s">
        <v>135</v>
      </c>
      <c r="H40" s="9" t="s">
        <v>199</v>
      </c>
      <c r="I40" s="10" t="s">
        <v>135</v>
      </c>
      <c r="J40" s="9">
        <v>2</v>
      </c>
    </row>
    <row r="41" spans="1:10" ht="15.75" thickBot="1" x14ac:dyDescent="0.3">
      <c r="A41" s="1"/>
      <c r="B41" s="11">
        <f>ROW(B41) - ROW($B$2)</f>
        <v>39</v>
      </c>
      <c r="C41" s="12" t="s">
        <v>16</v>
      </c>
      <c r="D41" s="7" t="s">
        <v>57</v>
      </c>
      <c r="E41" s="8" t="s">
        <v>103</v>
      </c>
      <c r="F41" s="7" t="s">
        <v>136</v>
      </c>
      <c r="G41" s="8" t="s">
        <v>174</v>
      </c>
      <c r="H41" s="7" t="s">
        <v>200</v>
      </c>
      <c r="I41" s="8" t="s">
        <v>174</v>
      </c>
      <c r="J41" s="7">
        <v>1</v>
      </c>
    </row>
    <row r="42" spans="1:10" ht="15.75" thickBot="1" x14ac:dyDescent="0.3">
      <c r="A42" s="1"/>
      <c r="B42" s="11">
        <f t="shared" si="0"/>
        <v>40</v>
      </c>
      <c r="C42" s="13" t="s">
        <v>16</v>
      </c>
      <c r="D42" s="9" t="s">
        <v>58</v>
      </c>
      <c r="E42" s="10" t="s">
        <v>104</v>
      </c>
      <c r="F42" s="9" t="s">
        <v>137</v>
      </c>
      <c r="G42" s="10" t="s">
        <v>175</v>
      </c>
      <c r="H42" s="9" t="s">
        <v>186</v>
      </c>
      <c r="I42" s="10" t="s">
        <v>175</v>
      </c>
      <c r="J42" s="9">
        <v>1</v>
      </c>
    </row>
    <row r="43" spans="1:10" ht="36.75" thickBot="1" x14ac:dyDescent="0.3">
      <c r="A43" s="1"/>
      <c r="B43" s="11">
        <f>ROW(B43) - ROW($B$2)</f>
        <v>41</v>
      </c>
      <c r="C43" s="13" t="s">
        <v>16</v>
      </c>
      <c r="D43" s="7" t="s">
        <v>59</v>
      </c>
      <c r="E43" s="8" t="s">
        <v>105</v>
      </c>
      <c r="F43" s="7" t="s">
        <v>138</v>
      </c>
      <c r="G43" s="8" t="s">
        <v>226</v>
      </c>
      <c r="H43" s="7" t="s">
        <v>200</v>
      </c>
      <c r="I43" s="8" t="s">
        <v>226</v>
      </c>
      <c r="J43" s="7">
        <v>1</v>
      </c>
    </row>
    <row r="44" spans="1:10" ht="24.75" thickBot="1" x14ac:dyDescent="0.3">
      <c r="A44" s="1"/>
      <c r="B44" s="11">
        <f t="shared" si="0"/>
        <v>42</v>
      </c>
      <c r="C44" s="13" t="s">
        <v>16</v>
      </c>
      <c r="D44" s="9" t="s">
        <v>60</v>
      </c>
      <c r="E44" s="10" t="s">
        <v>106</v>
      </c>
      <c r="F44" s="9" t="s">
        <v>139</v>
      </c>
      <c r="G44" s="10" t="s">
        <v>176</v>
      </c>
      <c r="H44" s="9" t="s">
        <v>200</v>
      </c>
      <c r="I44" s="10" t="s">
        <v>176</v>
      </c>
      <c r="J44" s="9">
        <v>1</v>
      </c>
    </row>
    <row r="45" spans="1:10" ht="24.75" thickBot="1" x14ac:dyDescent="0.3">
      <c r="A45" s="1"/>
      <c r="B45" s="11">
        <f>ROW(B45) - ROW($B$2)</f>
        <v>43</v>
      </c>
      <c r="C45" s="12" t="s">
        <v>16</v>
      </c>
      <c r="D45" s="7" t="s">
        <v>61</v>
      </c>
      <c r="E45" s="8" t="s">
        <v>107</v>
      </c>
      <c r="F45" s="7" t="s">
        <v>140</v>
      </c>
      <c r="G45" s="8" t="s">
        <v>177</v>
      </c>
      <c r="H45" s="7" t="s">
        <v>201</v>
      </c>
      <c r="I45" s="8" t="s">
        <v>177</v>
      </c>
      <c r="J45" s="7">
        <v>1</v>
      </c>
    </row>
    <row r="46" spans="1:10" ht="15.75" thickBot="1" x14ac:dyDescent="0.3">
      <c r="A46" s="1"/>
      <c r="B46" s="11">
        <f t="shared" si="0"/>
        <v>44</v>
      </c>
      <c r="C46" s="13" t="s">
        <v>16</v>
      </c>
      <c r="D46" s="9" t="s">
        <v>62</v>
      </c>
      <c r="E46" s="10" t="s">
        <v>108</v>
      </c>
      <c r="F46" s="9" t="s">
        <v>137</v>
      </c>
      <c r="G46" s="10" t="s">
        <v>178</v>
      </c>
      <c r="H46" s="9" t="s">
        <v>186</v>
      </c>
      <c r="I46" s="10" t="s">
        <v>178</v>
      </c>
      <c r="J46" s="9">
        <v>1</v>
      </c>
    </row>
    <row r="47" spans="1:10" ht="24.75" thickBot="1" x14ac:dyDescent="0.3">
      <c r="A47" s="1"/>
      <c r="B47" s="11">
        <f>ROW(B47) - ROW($B$2)</f>
        <v>45</v>
      </c>
      <c r="C47" s="13" t="s">
        <v>16</v>
      </c>
      <c r="D47" s="7" t="s">
        <v>63</v>
      </c>
      <c r="E47" s="8" t="s">
        <v>109</v>
      </c>
      <c r="F47" s="7" t="s">
        <v>141</v>
      </c>
      <c r="G47" s="8" t="s">
        <v>227</v>
      </c>
      <c r="H47" s="7" t="s">
        <v>233</v>
      </c>
      <c r="I47" s="8" t="s">
        <v>227</v>
      </c>
      <c r="J47" s="7">
        <v>1</v>
      </c>
    </row>
    <row r="48" spans="1:10" ht="24.75" thickBot="1" x14ac:dyDescent="0.3">
      <c r="A48" s="1"/>
      <c r="B48" s="11">
        <f t="shared" si="0"/>
        <v>46</v>
      </c>
      <c r="C48" s="13" t="s">
        <v>17</v>
      </c>
      <c r="D48" s="9" t="s">
        <v>64</v>
      </c>
      <c r="E48" s="10" t="s">
        <v>110</v>
      </c>
      <c r="F48" s="9" t="s">
        <v>142</v>
      </c>
      <c r="G48" s="10" t="s">
        <v>179</v>
      </c>
      <c r="H48" s="9" t="s">
        <v>202</v>
      </c>
      <c r="I48" s="10" t="s">
        <v>228</v>
      </c>
      <c r="J48" s="9">
        <v>1</v>
      </c>
    </row>
  </sheetData>
  <mergeCells count="1">
    <mergeCell ref="I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Saba aSim</cp:lastModifiedBy>
  <dcterms:created xsi:type="dcterms:W3CDTF">2019-12-12T10:34:26Z</dcterms:created>
  <dcterms:modified xsi:type="dcterms:W3CDTF">2026-05-26T10:53:13Z</dcterms:modified>
</cp:coreProperties>
</file>